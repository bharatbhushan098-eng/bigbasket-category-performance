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onthly Data" sheetId="2" r:id="rId6"/>
    <sheet state="visible" name="Category Targets" sheetId="3" r:id="rId7"/>
    <sheet state="visible" name="Pivot Table" sheetId="4" r:id="rId8"/>
    <sheet state="visible" name="Category Summary" sheetId="5" r:id="rId9"/>
  </sheets>
  <definedNames>
    <definedName hidden="1" localSheetId="1" name="_xlnm._FilterDatabase">'Monthly Data'!$A$1:$E$37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<sst xmlns="http://schemas.openxmlformats.org/spreadsheetml/2006/main" count="161" uniqueCount="66">
  <si>
    <t>category</t>
  </si>
  <si>
    <t>month</t>
  </si>
  <si>
    <t>order_count</t>
  </si>
  <si>
    <t>total_revenue</t>
  </si>
  <si>
    <t>avg_revenue</t>
  </si>
  <si>
    <t>Bakery</t>
  </si>
  <si>
    <t>2026-01</t>
  </si>
  <si>
    <t>target_revenue_inr</t>
  </si>
  <si>
    <t>SUM of total_revenue</t>
  </si>
  <si>
    <t>SUM of order_count</t>
  </si>
  <si>
    <t>Fruits &amp; Vegetables</t>
  </si>
  <si>
    <t>Submission note</t>
  </si>
  <si>
    <t>122.5</t>
  </si>
  <si>
    <t>2026-02</t>
  </si>
  <si>
    <t>305.0</t>
  </si>
  <si>
    <t>2026-03</t>
  </si>
  <si>
    <t>280.90909090909093</t>
  </si>
  <si>
    <t>Dairy &amp; Eggs</t>
  </si>
  <si>
    <t>2026-04</t>
  </si>
  <si>
    <t>Snacks &amp; Beverages</t>
  </si>
  <si>
    <t>239.6153846153846</t>
  </si>
  <si>
    <t>Personal Care</t>
  </si>
  <si>
    <t>2026-05</t>
  </si>
  <si>
    <t>Household Essentials</t>
  </si>
  <si>
    <t>246.33333333333334</t>
  </si>
  <si>
    <t>2026-06</t>
  </si>
  <si>
    <t>166.78571428571428</t>
  </si>
  <si>
    <t>226.11111111111111</t>
  </si>
  <si>
    <t>241.875</t>
  </si>
  <si>
    <t>210.86666666666667</t>
  </si>
  <si>
    <t>183.33333333333334</t>
  </si>
  <si>
    <t>248.5</t>
  </si>
  <si>
    <t>166.1818181818182</t>
  </si>
  <si>
    <t>107.5</t>
  </si>
  <si>
    <t>160.76923076923077</t>
  </si>
  <si>
    <t>160.0</t>
  </si>
  <si>
    <t>100.0</t>
  </si>
  <si>
    <t>155.83333333333334</t>
  </si>
  <si>
    <t>117.77777777777777</t>
  </si>
  <si>
    <t>209.9</t>
  </si>
  <si>
    <t>319.5625</t>
  </si>
  <si>
    <t>235.625</t>
  </si>
  <si>
    <t>323.0</t>
  </si>
  <si>
    <t>217.3125</t>
  </si>
  <si>
    <t>304.1666666666667</t>
  </si>
  <si>
    <t>Replace this formula-driven pivot-style summary with a native working PivotTable in Google Sheets/Excel before final GitHub submission.</t>
  </si>
  <si>
    <t>300.6666666666667</t>
  </si>
  <si>
    <t>Sum of total_revenue</t>
  </si>
  <si>
    <t>Sum of order_count</t>
  </si>
  <si>
    <t>272.125</t>
  </si>
  <si>
    <t>255.1818181818182</t>
  </si>
  <si>
    <t>218.88888888888889</t>
  </si>
  <si>
    <t>234.23076923076923</t>
  </si>
  <si>
    <t>213.46153846153845</t>
  </si>
  <si>
    <t>129.0</t>
  </si>
  <si>
    <t>120.9090909090909</t>
  </si>
  <si>
    <t>111.33333333333333</t>
  </si>
  <si>
    <t>156.8421052631579</t>
  </si>
  <si>
    <t>Grand Total</t>
  </si>
  <si>
    <t>128.07692307692307</t>
  </si>
  <si>
    <t>130.66666666666666</t>
  </si>
  <si>
    <t>variance</t>
  </si>
  <si>
    <t>percentage_variance</t>
  </si>
  <si>
    <t>target_status</t>
  </si>
  <si>
    <t>Matches Part 1 SQL total?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</si>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</sst>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/>
      <right/>
      <top/>
      <bottom/>
    </border>
    <border>
      <left/>
      <right/>
      <top/>
      <bottom style="thin">
        <color rgb="FFD9E1F2"/>
      </bottom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2" fillId="2" fontId="1" numFmtId="0" xfId="0" applyAlignment="1" applyBorder="1" applyFill="1" applyFont="1">
      <alignment horizontal="center"/>
    </xf>
    <xf borderId="0" fillId="0" fontId="3" numFmtId="1" xfId="0" applyFont="1" applyNumberFormat="1"/>
    <xf borderId="3" fillId="0" fontId="3" numFmtId="0" xfId="0" applyAlignment="1" applyBorder="1" applyFont="1">
      <alignment vertical="center"/>
    </xf>
    <xf borderId="0" fillId="0" fontId="3" numFmtId="4" xfId="0" applyFont="1" applyNumberFormat="1"/>
    <xf borderId="3" fillId="0" fontId="3" numFmtId="3" xfId="0" applyAlignment="1" applyBorder="1" applyFont="1" applyNumberFormat="1">
      <alignment vertical="center"/>
    </xf>
    <xf borderId="3" fillId="0" fontId="3" numFmtId="4" xfId="0" applyAlignment="1" applyBorder="1" applyFont="1" applyNumberFormat="1">
      <alignment vertical="center"/>
    </xf>
    <xf borderId="0" fillId="0" fontId="3" numFmtId="0" xfId="0" applyFon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/>
    </xf>
    <xf borderId="3" fillId="0" fontId="3" numFmtId="10" xfId="0" applyAlignment="1" applyBorder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0">
      <sharedItems>
        <s v="2026-01"/>
        <s v="2026-02"/>
        <s v="2026-03"/>
        <s v="2026-04"/>
        <s v="2026-05"/>
        <s v="2026-06"/>
      </sharedItems>
    </cacheField>
    <cacheField name="order_count" numFmtId="1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4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4">
      <sharedItems>
        <s v="122.5"/>
        <s v="305.0"/>
        <s v="280.90909090909093"/>
        <s v="239.6153846153846"/>
        <s v="246.33333333333334"/>
        <s v="166.78571428571428"/>
        <s v="226.11111111111111"/>
        <s v="241.875"/>
        <s v="210.86666666666667"/>
        <s v="183.33333333333334"/>
        <s v="248.5"/>
        <s v="166.1818181818182"/>
        <s v="107.5"/>
        <s v="160.76923076923077"/>
        <s v="160.0"/>
        <s v="100.0"/>
        <s v="155.83333333333334"/>
        <s v="117.77777777777777"/>
        <s v="209.9"/>
        <s v="319.5625"/>
        <s v="235.625"/>
        <s v="323.0"/>
        <s v="217.3125"/>
        <s v="304.1666666666667"/>
        <s v="300.6666666666667"/>
        <s v="272.125"/>
        <s v="255.1818181818182"/>
        <s v="218.88888888888889"/>
        <s v="234.23076923076923"/>
        <s v="213.46153846153845"/>
        <s v="129.0"/>
        <s v="120.9090909090909"/>
        <s v="111.33333333333333"/>
        <s v="156.8421052631579"/>
        <s v="128.07692307692307"/>
        <s v="130.66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A3:C10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0.43"/>
    <col customWidth="1" min="3" max="3" width="18.71"/>
    <col customWidth="1" min="4" max="26" width="8.71"/>
  </cols>
  <sheetData>
    <row r="3"/>
    <row r="4"/>
    <row r="5"/>
    <row r="6"/>
    <row r="7"/>
    <row r="8"/>
    <row r="9"/>
    <row r="1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13.0"/>
    <col customWidth="1" min="4" max="4" width="15.0"/>
    <col customWidth="1" min="5" max="5" width="2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4">
        <v>6.0</v>
      </c>
      <c r="D2" s="6">
        <v>735.0</v>
      </c>
      <c r="E2" s="6" t="s">
        <v>12</v>
      </c>
    </row>
    <row r="3">
      <c r="A3" s="2" t="s">
        <v>5</v>
      </c>
      <c r="B3" s="2" t="s">
        <v>13</v>
      </c>
      <c r="C3" s="4">
        <v>8.0</v>
      </c>
      <c r="D3" s="6">
        <v>2440.0</v>
      </c>
      <c r="E3" s="6" t="s">
        <v>14</v>
      </c>
    </row>
    <row r="4">
      <c r="A4" s="2" t="s">
        <v>5</v>
      </c>
      <c r="B4" s="2" t="s">
        <v>15</v>
      </c>
      <c r="C4" s="4">
        <v>11.0</v>
      </c>
      <c r="D4" s="6">
        <v>3090.0</v>
      </c>
      <c r="E4" s="6" t="s">
        <v>16</v>
      </c>
    </row>
    <row r="5">
      <c r="A5" s="2" t="s">
        <v>5</v>
      </c>
      <c r="B5" s="2" t="s">
        <v>18</v>
      </c>
      <c r="C5" s="4">
        <v>13.0</v>
      </c>
      <c r="D5" s="6">
        <v>3115.0</v>
      </c>
      <c r="E5" s="6" t="s">
        <v>20</v>
      </c>
    </row>
    <row r="6">
      <c r="A6" s="2" t="s">
        <v>5</v>
      </c>
      <c r="B6" s="2" t="s">
        <v>22</v>
      </c>
      <c r="C6" s="4">
        <v>15.0</v>
      </c>
      <c r="D6" s="6">
        <v>3695.0</v>
      </c>
      <c r="E6" s="6" t="s">
        <v>24</v>
      </c>
    </row>
    <row r="7">
      <c r="A7" s="2" t="s">
        <v>5</v>
      </c>
      <c r="B7" s="2" t="s">
        <v>25</v>
      </c>
      <c r="C7" s="4">
        <v>14.0</v>
      </c>
      <c r="D7" s="6">
        <v>2335.0</v>
      </c>
      <c r="E7" s="6" t="s">
        <v>26</v>
      </c>
    </row>
    <row r="8">
      <c r="A8" s="2" t="s">
        <v>17</v>
      </c>
      <c r="B8" s="2" t="s">
        <v>6</v>
      </c>
      <c r="C8" s="4">
        <v>9.0</v>
      </c>
      <c r="D8" s="6">
        <v>2035.0</v>
      </c>
      <c r="E8" s="6" t="s">
        <v>27</v>
      </c>
    </row>
    <row r="9">
      <c r="A9" s="2" t="s">
        <v>17</v>
      </c>
      <c r="B9" s="2" t="s">
        <v>13</v>
      </c>
      <c r="C9" s="4">
        <v>8.0</v>
      </c>
      <c r="D9" s="6">
        <v>1935.0</v>
      </c>
      <c r="E9" s="6" t="s">
        <v>28</v>
      </c>
    </row>
    <row r="10">
      <c r="A10" s="2" t="s">
        <v>17</v>
      </c>
      <c r="B10" s="2" t="s">
        <v>15</v>
      </c>
      <c r="C10" s="4">
        <v>15.0</v>
      </c>
      <c r="D10" s="6">
        <v>3163.0</v>
      </c>
      <c r="E10" s="6" t="s">
        <v>29</v>
      </c>
    </row>
    <row r="11">
      <c r="A11" s="2" t="s">
        <v>17</v>
      </c>
      <c r="B11" s="2" t="s">
        <v>18</v>
      </c>
      <c r="C11" s="4">
        <v>9.0</v>
      </c>
      <c r="D11" s="6">
        <v>1650.0</v>
      </c>
      <c r="E11" s="6" t="s">
        <v>30</v>
      </c>
    </row>
    <row r="12">
      <c r="A12" s="2" t="s">
        <v>17</v>
      </c>
      <c r="B12" s="2" t="s">
        <v>22</v>
      </c>
      <c r="C12" s="4">
        <v>14.0</v>
      </c>
      <c r="D12" s="6">
        <v>3479.0</v>
      </c>
      <c r="E12" s="6" t="s">
        <v>31</v>
      </c>
    </row>
    <row r="13">
      <c r="A13" s="2" t="s">
        <v>17</v>
      </c>
      <c r="B13" s="2" t="s">
        <v>25</v>
      </c>
      <c r="C13" s="4">
        <v>11.0</v>
      </c>
      <c r="D13" s="6">
        <v>1828.0</v>
      </c>
      <c r="E13" s="6" t="s">
        <v>32</v>
      </c>
    </row>
    <row r="14">
      <c r="A14" s="2" t="s">
        <v>10</v>
      </c>
      <c r="B14" s="2" t="s">
        <v>6</v>
      </c>
      <c r="C14" s="4">
        <v>12.0</v>
      </c>
      <c r="D14" s="6">
        <v>1290.0</v>
      </c>
      <c r="E14" s="6" t="s">
        <v>33</v>
      </c>
    </row>
    <row r="15">
      <c r="A15" s="2" t="s">
        <v>10</v>
      </c>
      <c r="B15" s="2" t="s">
        <v>13</v>
      </c>
      <c r="C15" s="4">
        <v>13.0</v>
      </c>
      <c r="D15" s="6">
        <v>2090.0</v>
      </c>
      <c r="E15" s="6" t="s">
        <v>34</v>
      </c>
    </row>
    <row r="16">
      <c r="A16" s="2" t="s">
        <v>10</v>
      </c>
      <c r="B16" s="2" t="s">
        <v>15</v>
      </c>
      <c r="C16" s="4">
        <v>13.0</v>
      </c>
      <c r="D16" s="6">
        <v>2080.0</v>
      </c>
      <c r="E16" s="6" t="s">
        <v>35</v>
      </c>
    </row>
    <row r="17">
      <c r="A17" s="2" t="s">
        <v>10</v>
      </c>
      <c r="B17" s="2" t="s">
        <v>18</v>
      </c>
      <c r="C17" s="4">
        <v>14.0</v>
      </c>
      <c r="D17" s="6">
        <v>1400.0</v>
      </c>
      <c r="E17" s="6" t="s">
        <v>36</v>
      </c>
    </row>
    <row r="18">
      <c r="A18" s="2" t="s">
        <v>10</v>
      </c>
      <c r="B18" s="2" t="s">
        <v>22</v>
      </c>
      <c r="C18" s="4">
        <v>12.0</v>
      </c>
      <c r="D18" s="6">
        <v>1870.0</v>
      </c>
      <c r="E18" s="6" t="s">
        <v>37</v>
      </c>
    </row>
    <row r="19">
      <c r="A19" s="2" t="s">
        <v>10</v>
      </c>
      <c r="B19" s="2" t="s">
        <v>25</v>
      </c>
      <c r="C19" s="4">
        <v>9.0</v>
      </c>
      <c r="D19" s="6">
        <v>1060.0</v>
      </c>
      <c r="E19" s="6" t="s">
        <v>38</v>
      </c>
    </row>
    <row r="20">
      <c r="A20" s="2" t="s">
        <v>23</v>
      </c>
      <c r="B20" s="2" t="s">
        <v>6</v>
      </c>
      <c r="C20" s="4">
        <v>10.0</v>
      </c>
      <c r="D20" s="6">
        <v>2099.0</v>
      </c>
      <c r="E20" s="6" t="s">
        <v>39</v>
      </c>
    </row>
    <row r="21" ht="15.75" customHeight="1">
      <c r="A21" s="2" t="s">
        <v>23</v>
      </c>
      <c r="B21" s="2" t="s">
        <v>13</v>
      </c>
      <c r="C21" s="4">
        <v>16.0</v>
      </c>
      <c r="D21" s="6">
        <v>5113.0</v>
      </c>
      <c r="E21" s="6" t="s">
        <v>40</v>
      </c>
    </row>
    <row r="22" ht="15.75" customHeight="1">
      <c r="A22" s="2" t="s">
        <v>23</v>
      </c>
      <c r="B22" s="2" t="s">
        <v>15</v>
      </c>
      <c r="C22" s="4">
        <v>8.0</v>
      </c>
      <c r="D22" s="6">
        <v>1885.0</v>
      </c>
      <c r="E22" s="6" t="s">
        <v>41</v>
      </c>
    </row>
    <row r="23" ht="15.75" customHeight="1">
      <c r="A23" s="2" t="s">
        <v>23</v>
      </c>
      <c r="B23" s="2" t="s">
        <v>18</v>
      </c>
      <c r="C23" s="4">
        <v>17.0</v>
      </c>
      <c r="D23" s="6">
        <v>5491.0</v>
      </c>
      <c r="E23" s="6" t="s">
        <v>42</v>
      </c>
    </row>
    <row r="24" ht="15.75" customHeight="1">
      <c r="A24" s="2" t="s">
        <v>23</v>
      </c>
      <c r="B24" s="2" t="s">
        <v>22</v>
      </c>
      <c r="C24" s="4">
        <v>16.0</v>
      </c>
      <c r="D24" s="6">
        <v>3477.0</v>
      </c>
      <c r="E24" s="6" t="s">
        <v>43</v>
      </c>
    </row>
    <row r="25" ht="15.75" customHeight="1">
      <c r="A25" s="2" t="s">
        <v>23</v>
      </c>
      <c r="B25" s="2" t="s">
        <v>25</v>
      </c>
      <c r="C25" s="4">
        <v>12.0</v>
      </c>
      <c r="D25" s="6">
        <v>3650.0</v>
      </c>
      <c r="E25" s="6" t="s">
        <v>44</v>
      </c>
    </row>
    <row r="26" ht="15.75" customHeight="1">
      <c r="A26" s="2" t="s">
        <v>21</v>
      </c>
      <c r="B26" s="2" t="s">
        <v>6</v>
      </c>
      <c r="C26" s="4">
        <v>12.0</v>
      </c>
      <c r="D26" s="6">
        <v>3608.0</v>
      </c>
      <c r="E26" s="6" t="s">
        <v>46</v>
      </c>
    </row>
    <row r="27" ht="15.75" customHeight="1">
      <c r="A27" s="2" t="s">
        <v>21</v>
      </c>
      <c r="B27" s="2" t="s">
        <v>13</v>
      </c>
      <c r="C27" s="4">
        <v>8.0</v>
      </c>
      <c r="D27" s="6">
        <v>2177.0</v>
      </c>
      <c r="E27" s="6" t="s">
        <v>49</v>
      </c>
    </row>
    <row r="28" ht="15.75" customHeight="1">
      <c r="A28" s="2" t="s">
        <v>21</v>
      </c>
      <c r="B28" s="2" t="s">
        <v>15</v>
      </c>
      <c r="C28" s="4">
        <v>11.0</v>
      </c>
      <c r="D28" s="6">
        <v>2807.0</v>
      </c>
      <c r="E28" s="6" t="s">
        <v>50</v>
      </c>
    </row>
    <row r="29" ht="15.75" customHeight="1">
      <c r="A29" s="2" t="s">
        <v>21</v>
      </c>
      <c r="B29" s="2" t="s">
        <v>18</v>
      </c>
      <c r="C29" s="4">
        <v>9.0</v>
      </c>
      <c r="D29" s="6">
        <v>1970.0</v>
      </c>
      <c r="E29" s="6" t="s">
        <v>51</v>
      </c>
    </row>
    <row r="30" ht="15.75" customHeight="1">
      <c r="A30" s="2" t="s">
        <v>21</v>
      </c>
      <c r="B30" s="2" t="s">
        <v>22</v>
      </c>
      <c r="C30" s="4">
        <v>13.0</v>
      </c>
      <c r="D30" s="6">
        <v>3045.0</v>
      </c>
      <c r="E30" s="6" t="s">
        <v>52</v>
      </c>
    </row>
    <row r="31" ht="15.75" customHeight="1">
      <c r="A31" s="2" t="s">
        <v>21</v>
      </c>
      <c r="B31" s="2" t="s">
        <v>25</v>
      </c>
      <c r="C31" s="4">
        <v>13.0</v>
      </c>
      <c r="D31" s="6">
        <v>2775.0</v>
      </c>
      <c r="E31" s="6" t="s">
        <v>53</v>
      </c>
    </row>
    <row r="32" ht="15.75" customHeight="1">
      <c r="A32" s="2" t="s">
        <v>19</v>
      </c>
      <c r="B32" s="2" t="s">
        <v>6</v>
      </c>
      <c r="C32" s="4">
        <v>10.0</v>
      </c>
      <c r="D32" s="6">
        <v>1290.0</v>
      </c>
      <c r="E32" s="6" t="s">
        <v>54</v>
      </c>
    </row>
    <row r="33" ht="15.75" customHeight="1">
      <c r="A33" s="2" t="s">
        <v>19</v>
      </c>
      <c r="B33" s="2" t="s">
        <v>13</v>
      </c>
      <c r="C33" s="4">
        <v>11.0</v>
      </c>
      <c r="D33" s="6">
        <v>1330.0</v>
      </c>
      <c r="E33" s="6" t="s">
        <v>55</v>
      </c>
    </row>
    <row r="34" ht="15.75" customHeight="1">
      <c r="A34" s="2" t="s">
        <v>19</v>
      </c>
      <c r="B34" s="2" t="s">
        <v>15</v>
      </c>
      <c r="C34" s="4">
        <v>15.0</v>
      </c>
      <c r="D34" s="6">
        <v>1670.0</v>
      </c>
      <c r="E34" s="6" t="s">
        <v>56</v>
      </c>
    </row>
    <row r="35" ht="15.75" customHeight="1">
      <c r="A35" s="2" t="s">
        <v>19</v>
      </c>
      <c r="B35" s="2" t="s">
        <v>18</v>
      </c>
      <c r="C35" s="4">
        <v>19.0</v>
      </c>
      <c r="D35" s="6">
        <v>2980.0</v>
      </c>
      <c r="E35" s="6" t="s">
        <v>57</v>
      </c>
    </row>
    <row r="36" ht="15.75" customHeight="1">
      <c r="A36" s="2" t="s">
        <v>19</v>
      </c>
      <c r="B36" s="2" t="s">
        <v>22</v>
      </c>
      <c r="C36" s="4">
        <v>13.0</v>
      </c>
      <c r="D36" s="6">
        <v>1665.0</v>
      </c>
      <c r="E36" s="6" t="s">
        <v>59</v>
      </c>
    </row>
    <row r="37" ht="15.75" customHeight="1">
      <c r="A37" s="2" t="s">
        <v>19</v>
      </c>
      <c r="B37" s="2" t="s">
        <v>25</v>
      </c>
      <c r="C37" s="4">
        <v>15.0</v>
      </c>
      <c r="D37" s="6">
        <v>1960.0</v>
      </c>
      <c r="E37" s="6" t="s">
        <v>60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26" width="8.71"/>
  </cols>
  <sheetData>
    <row r="1">
      <c r="A1" s="3" t="s">
        <v>0</v>
      </c>
      <c r="B1" s="3" t="s">
        <v>7</v>
      </c>
    </row>
    <row r="2">
      <c r="A2" s="5" t="s">
        <v>10</v>
      </c>
      <c r="B2" s="7">
        <v>12000.0</v>
      </c>
    </row>
    <row r="3">
      <c r="A3" s="5" t="s">
        <v>17</v>
      </c>
      <c r="B3" s="7">
        <v>16500.0</v>
      </c>
    </row>
    <row r="4">
      <c r="A4" s="5" t="s">
        <v>19</v>
      </c>
      <c r="B4" s="7">
        <v>13000.0</v>
      </c>
    </row>
    <row r="5">
      <c r="A5" s="5" t="s">
        <v>21</v>
      </c>
      <c r="B5" s="7">
        <v>15500.0</v>
      </c>
    </row>
    <row r="6">
      <c r="A6" s="5" t="s">
        <v>23</v>
      </c>
      <c r="B6" s="7">
        <v>17000.0</v>
      </c>
    </row>
    <row r="7">
      <c r="A7" s="5" t="s">
        <v>5</v>
      </c>
      <c r="B7" s="7">
        <v>12000.0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34.0"/>
    <col customWidth="1" min="4" max="4" width="8.71"/>
    <col customWidth="1" min="5" max="5" width="70.0"/>
    <col customWidth="1" min="6" max="26" width="8.71"/>
  </cols>
  <sheetData>
    <row r="1">
      <c r="A1" s="3" t="s">
        <v>0</v>
      </c>
      <c r="B1" s="3" t="s">
        <v>8</v>
      </c>
      <c r="C1" s="3" t="s">
        <v>9</v>
      </c>
      <c r="E1" s="2" t="s">
        <v>11</v>
      </c>
    </row>
    <row r="2">
      <c r="A2" s="5" t="s">
        <v>10</v>
      </c>
      <c r="B2" s="8">
        <f>SUMIF('Monthly Data'!$A:$A,A2,'Monthly Data'!$D:$D)</f>
        <v>9790</v>
      </c>
      <c r="C2" s="7">
        <f>SUMIF('Monthly Data'!$A:$A,A2,'Monthly Data'!$C:$C)</f>
        <v>73</v>
      </c>
      <c r="E2" s="10" t="s">
        <v>45</v>
      </c>
    </row>
    <row r="3">
      <c r="A3" s="5" t="s">
        <v>17</v>
      </c>
      <c r="B3" s="8">
        <f>SUMIF('Monthly Data'!$A:$A,A3,'Monthly Data'!$D:$D)</f>
        <v>14090</v>
      </c>
      <c r="C3" s="7">
        <f>SUMIF('Monthly Data'!$A:$A,A3,'Monthly Data'!$C:$C)</f>
        <v>66</v>
      </c>
    </row>
    <row r="4">
      <c r="A4" s="5" t="s">
        <v>19</v>
      </c>
      <c r="B4" s="8">
        <f>SUMIF('Monthly Data'!$A:$A,A4,'Monthly Data'!$D:$D)</f>
        <v>10895</v>
      </c>
      <c r="C4" s="7">
        <f>SUMIF('Monthly Data'!$A:$A,A4,'Monthly Data'!$C:$C)</f>
        <v>83</v>
      </c>
    </row>
    <row r="5">
      <c r="A5" s="5" t="s">
        <v>21</v>
      </c>
      <c r="B5" s="8">
        <f>SUMIF('Monthly Data'!$A:$A,A5,'Monthly Data'!$D:$D)</f>
        <v>16382</v>
      </c>
      <c r="C5" s="7">
        <f>SUMIF('Monthly Data'!$A:$A,A5,'Monthly Data'!$C:$C)</f>
        <v>66</v>
      </c>
    </row>
    <row r="6">
      <c r="A6" s="5" t="s">
        <v>23</v>
      </c>
      <c r="B6" s="8">
        <f>SUMIF('Monthly Data'!$A:$A,A6,'Monthly Data'!$D:$D)</f>
        <v>21715</v>
      </c>
      <c r="C6" s="7">
        <f>SUMIF('Monthly Data'!$A:$A,A6,'Monthly Data'!$C:$C)</f>
        <v>79</v>
      </c>
    </row>
    <row r="7">
      <c r="A7" s="5" t="s">
        <v>5</v>
      </c>
      <c r="B7" s="8">
        <f>SUMIF('Monthly Data'!$A:$A,A7,'Monthly Data'!$D:$D)</f>
        <v>15410</v>
      </c>
      <c r="C7" s="7">
        <f>SUMIF('Monthly Data'!$A:$A,A7,'Monthly Data'!$C:$C)</f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9.0"/>
    <col customWidth="1" min="3" max="3" width="34.0"/>
    <col customWidth="1" min="4" max="4" width="12.0"/>
    <col customWidth="1" min="5" max="5" width="21.0"/>
    <col customWidth="1" min="6" max="6" width="34.0"/>
    <col customWidth="1" min="7" max="7" width="27.0"/>
    <col customWidth="1" min="8" max="26" width="8.71"/>
  </cols>
  <sheetData>
    <row r="1">
      <c r="A1" s="3" t="s">
        <v>0</v>
      </c>
      <c r="B1" s="3" t="s">
        <v>3</v>
      </c>
      <c r="C1" s="3" t="s">
        <v>7</v>
      </c>
      <c r="D1" s="3" t="s">
        <v>61</v>
      </c>
      <c r="E1" s="3" t="s">
        <v>62</v>
      </c>
      <c r="F1" s="3" t="s">
        <v>63</v>
      </c>
      <c r="G1" s="3" t="s">
        <v>64</v>
      </c>
    </row>
    <row r="2">
      <c r="A2" s="5" t="s">
        <v>10</v>
      </c>
      <c r="B2" s="8">
        <f>'Pivot Table'!B2</f>
        <v>9790</v>
      </c>
      <c r="C2" s="7">
        <f t="array" ref="C2">_xlfn.XLOOKUP(A2,'Category Targets'!A2:A7,'Category Targets'!B2:B7,"Not Found")</f>
        <v>12000</v>
      </c>
      <c r="D2" s="7">
        <f t="shared" ref="D2:D7" si="1">B2-C2</f>
        <v>-2210</v>
      </c>
      <c r="E2" s="7">
        <f t="shared" ref="E2:E7" si="2">((B2-C2)/C2)*100</f>
        <v>-18.41666667</v>
      </c>
      <c r="F2" s="12" t="str">
        <f t="shared" ref="F2:F7" si="3">IF(B2&gt;=C2,"Above Target",IF((C2-B2)/C2&lt;=15%,"Below Target - Watch","Below Target - Critical"))</f>
        <v>Below Target - Critical</v>
      </c>
      <c r="G2" s="5" t="s">
        <v>65</v>
      </c>
    </row>
    <row r="3">
      <c r="A3" s="5" t="s">
        <v>17</v>
      </c>
      <c r="B3" s="8">
        <f>'Pivot Table'!B3</f>
        <v>14090</v>
      </c>
      <c r="C3" s="7">
        <f t="array" ref="C3">_xlfn.XLOOKUP(A3,'Category Targets'!A3:A8,'Category Targets'!B3:B8,"Not Found")</f>
        <v>16500</v>
      </c>
      <c r="D3" s="7">
        <f t="shared" si="1"/>
        <v>-2410</v>
      </c>
      <c r="E3" s="7">
        <f t="shared" si="2"/>
        <v>-14.60606061</v>
      </c>
      <c r="F3" s="12" t="str">
        <f t="shared" si="3"/>
        <v>Below Target - Watch</v>
      </c>
      <c r="G3" s="5" t="s">
        <v>65</v>
      </c>
    </row>
    <row r="4">
      <c r="A4" s="5" t="s">
        <v>19</v>
      </c>
      <c r="B4" s="8">
        <f>'Pivot Table'!B4</f>
        <v>10895</v>
      </c>
      <c r="C4" s="7">
        <f t="array" ref="C4">_xlfn.XLOOKUP(A4,'Category Targets'!A4:A9,'Category Targets'!B4:B9,"Not Found")</f>
        <v>13000</v>
      </c>
      <c r="D4" s="7">
        <f t="shared" si="1"/>
        <v>-2105</v>
      </c>
      <c r="E4" s="7">
        <f t="shared" si="2"/>
        <v>-16.19230769</v>
      </c>
      <c r="F4" s="12" t="str">
        <f t="shared" si="3"/>
        <v>Below Target - Critical</v>
      </c>
      <c r="G4" s="5" t="s">
        <v>65</v>
      </c>
    </row>
    <row r="5">
      <c r="A5" s="5" t="s">
        <v>21</v>
      </c>
      <c r="B5" s="8">
        <f>'Pivot Table'!B5</f>
        <v>16382</v>
      </c>
      <c r="C5" s="7">
        <f t="array" ref="C5">_xlfn.XLOOKUP(A5,'Category Targets'!A5:A10,'Category Targets'!B5:B10,"Not Found")</f>
        <v>15500</v>
      </c>
      <c r="D5" s="7">
        <f t="shared" si="1"/>
        <v>882</v>
      </c>
      <c r="E5" s="7">
        <f t="shared" si="2"/>
        <v>5.690322581</v>
      </c>
      <c r="F5" s="12" t="str">
        <f t="shared" si="3"/>
        <v>Above Target</v>
      </c>
      <c r="G5" s="5" t="s">
        <v>65</v>
      </c>
    </row>
    <row r="6">
      <c r="A6" s="5" t="s">
        <v>23</v>
      </c>
      <c r="B6" s="8">
        <f>'Pivot Table'!B6</f>
        <v>21715</v>
      </c>
      <c r="C6" s="7">
        <f t="array" ref="C6">_xlfn.XLOOKUP(A6,'Category Targets'!A6:A11,'Category Targets'!B6:B11,"Not Found")</f>
        <v>17000</v>
      </c>
      <c r="D6" s="7">
        <f t="shared" si="1"/>
        <v>4715</v>
      </c>
      <c r="E6" s="7">
        <f t="shared" si="2"/>
        <v>27.73529412</v>
      </c>
      <c r="F6" s="12" t="str">
        <f t="shared" si="3"/>
        <v>Above Target</v>
      </c>
      <c r="G6" s="5" t="s">
        <v>65</v>
      </c>
    </row>
    <row r="7">
      <c r="A7" s="5" t="s">
        <v>5</v>
      </c>
      <c r="B7" s="8">
        <f>'Pivot Table'!B7</f>
        <v>15410</v>
      </c>
      <c r="C7" s="7">
        <f t="array" ref="C7">_xlfn.XLOOKUP(A7,'Category Targets'!A7:A12,'Category Targets'!B7:B12,"Not Found")</f>
        <v>12000</v>
      </c>
      <c r="D7" s="7">
        <f t="shared" si="1"/>
        <v>3410</v>
      </c>
      <c r="E7" s="7">
        <f t="shared" si="2"/>
        <v>28.41666667</v>
      </c>
      <c r="F7" s="12" t="str">
        <f t="shared" si="3"/>
        <v>Above Target</v>
      </c>
      <c r="G7" s="5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7">
    <cfRule type="expression" dxfId="0" priority="1">
      <formula>F2="Above Target"</formula>
    </cfRule>
  </conditionalFormatting>
  <conditionalFormatting sqref="F2:F7">
    <cfRule type="expression" dxfId="1" priority="2">
      <formula>F2="Below Target - Watch"</formula>
    </cfRule>
  </conditionalFormatting>
  <conditionalFormatting sqref="F2:F7">
    <cfRule type="expression" dxfId="2" priority="3">
      <formula>F2="Below Target - Critical"</formula>
    </cfRule>
  </conditionalFormatting>
  <conditionalFormatting sqref="G2:G7">
    <cfRule type="cellIs" dxfId="0" priority="4" operator="equal">
      <formula>"Above Target"</formula>
    </cfRule>
  </conditionalFormatting>
  <conditionalFormatting sqref="G2:G7">
    <cfRule type="cellIs" dxfId="1" priority="5" operator="equal">
      <formula>"Below Target - Watch"</formula>
    </cfRule>
  </conditionalFormatting>
  <conditionalFormatting sqref="G2:G7">
    <cfRule type="cellIs" dxfId="2" priority="6" operator="equal">
      <formula>"Below Target - Critical"</formula>
    </cfRule>
  </conditionalFormatting>
  <printOptions/>
  <pageMargins bottom="1.0" footer="0.0" header="0.0" left="0.75" right="0.75" top="1.0"/>
  <pageSetup orientation="landscape"/>
  <drawing r:id="rId1"/>
</worksheet>
</file>